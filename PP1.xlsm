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https://politechnikawroclawska-my.sharepoint.com/personal/272209_student_pwr_edu_pl/Documents/"/>
    </mc:Choice>
  </mc:AlternateContent>
  <xr:revisionPtr revIDLastSave="104" documentId="8_{D3E120FC-3CFF-4534-9AB5-91C9A8DFE624}" xr6:coauthVersionLast="47" xr6:coauthVersionMax="47" xr10:uidLastSave="{2CD14AD2-248D-46FA-9DA0-CD53DBF4EA96}"/>
  <bookViews>
    <workbookView xWindow="1710" yWindow="1425" windowWidth="21600" windowHeight="11295" xr2:uid="{6F4692C2-8ACF-47A2-A75C-2265EAFAF2BD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" i="1" l="1" a="1"/>
  <c r="O5" i="1" a="1"/>
  <c r="O7" i="1" a="1"/>
  <c r="O4" i="1" a="1"/>
  <c r="O6" i="1" l="1"/>
  <c r="O7" i="1"/>
  <c r="O5" i="1"/>
  <c r="O4" i="1"/>
  <c r="B5" i="1" l="1"/>
  <c r="C5" i="1"/>
  <c r="D5" i="1"/>
  <c r="B6" i="1"/>
  <c r="C6" i="1"/>
  <c r="D6" i="1"/>
  <c r="C4" i="1"/>
  <c r="D4" i="1"/>
  <c r="B4" i="1"/>
  <c r="F5" i="1" a="1"/>
  <c r="F4" i="1" a="1"/>
  <c r="F6" i="1" a="1"/>
  <c r="E6" i="1" a="1"/>
  <c r="E5" i="1" a="1"/>
  <c r="E4" i="1" a="1"/>
  <c r="F6" i="1" l="1"/>
  <c r="F5" i="1"/>
  <c r="F4" i="1"/>
  <c r="E5" i="1"/>
  <c r="E4" i="1"/>
  <c r="E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<sst xmlns="http://schemas.openxmlformats.org/spreadsheetml/2006/main" count="25" uniqueCount="24">
  <si>
    <t>X1</t>
  </si>
  <si>
    <t>X2</t>
  </si>
  <si>
    <t>X3</t>
  </si>
  <si>
    <t>Obliczenia</t>
  </si>
  <si>
    <t>Wieksza</t>
  </si>
  <si>
    <t>lp</t>
  </si>
  <si>
    <t>Nazwisko</t>
  </si>
  <si>
    <t>Imię</t>
  </si>
  <si>
    <t>Nr indeksu</t>
  </si>
  <si>
    <t>Kraków</t>
  </si>
  <si>
    <t>Poznań</t>
  </si>
  <si>
    <t>Opole</t>
  </si>
  <si>
    <t>Wroclaw</t>
  </si>
  <si>
    <t>Nowak</t>
  </si>
  <si>
    <t>Kowalska</t>
  </si>
  <si>
    <t>Rogal</t>
  </si>
  <si>
    <t>Anna</t>
  </si>
  <si>
    <t>Jan</t>
  </si>
  <si>
    <t>Maria</t>
  </si>
  <si>
    <t>Paweł</t>
  </si>
  <si>
    <t>Dochód na członka rodziny</t>
  </si>
  <si>
    <t>Miejsce zamieszkania</t>
  </si>
  <si>
    <t>Średnia ocen</t>
  </si>
  <si>
    <t>Kwota stypendium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</si>
</sst>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ny" xfId="0" builtinId="0"/>
  </cellStyles>
  <dxfs count="3">
    <dxf>
      <font>
        <b/>
      </font>
      <numFmt numFmtId="0" formatCode="General"/>
    </dxf>
    <dxf>
      <font>
        <b/>
      </font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325622-FC8D-4787-A53E-9AA4FE287CDD}" name="Tabela1" displayName="Tabela1" ref="B3:F6" totalsRowShown="0">
  <autoFilter ref="B3:F6" xr:uid="{6E325622-FC8D-4787-A53E-9AA4FE287CDD}"/>
  <tableColumns count="5">
    <tableColumn id="1" xr3:uid="{FB4AD25D-169F-4980-82BF-6EE30F67A71F}" name="X1" dataDxfId="2">
      <calculatedColumnFormula>ROUND(RAND()*10,)</calculatedColumnFormula>
    </tableColumn>
    <tableColumn id="2" xr3:uid="{4942B8A9-BF57-4528-A6DE-D033A7C60497}" name="X2">
      <calculatedColumnFormula>ROUND(RAND()*10,)</calculatedColumnFormula>
    </tableColumn>
    <tableColumn id="3" xr3:uid="{0B86DF6A-48A5-45A3-BB43-CB16ABC5D7BE}" name="X3">
      <calculatedColumnFormula>ROUND(RAND()*10,)</calculatedColumnFormula>
    </tableColumn>
    <tableColumn id="4" xr3:uid="{BA50243F-B650-4382-A116-088A7332D942}" name="Obliczenia" dataDxfId="1">
      <calculatedColumnFormula array="1">ROUND(Obliczenia(B4,C4,D4),2)</calculatedColumnFormula>
    </tableColumn>
    <tableColumn id="5" xr3:uid="{C561EE93-F596-452D-958D-473BC4CC8DE0}" name="Wieksza" dataDxfId="0">
      <calculatedColumnFormula array="1">Wieksza(Tabela1[[#This Row],[X1]],Tabela1[[#This Row],[X2]])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A26B3B-3813-4FB6-B969-4E2CD351AAFA}" name="Tabela2" displayName="Tabela2" ref="H3:O7" totalsRowShown="0">
  <autoFilter ref="H3:O7" xr:uid="{65A26B3B-3813-4FB6-B969-4E2CD351AAFA}"/>
  <tableColumns count="8">
    <tableColumn id="1" xr3:uid="{0936EC21-BA23-4A8B-BFC1-D7CCA3160C01}" name="lp"/>
    <tableColumn id="2" xr3:uid="{4A8EFE76-44BF-4D16-A73C-9C2D2E29976D}" name="Nazwisko"/>
    <tableColumn id="3" xr3:uid="{AA13A53D-490B-460C-A75C-6E5751D0E62A}" name="Imię"/>
    <tableColumn id="4" xr3:uid="{1C9D3BC4-590F-4F07-ABC7-B95DE5E9E0DC}" name="Nr indeksu"/>
    <tableColumn id="5" xr3:uid="{50AE9370-5E3D-4D5C-90A3-7B12206F3174}" name="Dochód na członka rodziny"/>
    <tableColumn id="6" xr3:uid="{6B53BAA3-4165-466C-8570-0E0D3AA48D8D}" name="Miejsce zamieszkania"/>
    <tableColumn id="7" xr3:uid="{48962599-2130-4ED4-8055-87DCAFE93899}" name="Średnia ocen"/>
    <tableColumn id="8" xr3:uid="{CA05486A-A9B9-4C86-A0BE-34CFAEDC87F0}" name="Kwota stypendium">
      <calculatedColumnFormula array="1">Stypendium(L4,M4,N4)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55693-9C10-40C2-ADE0-55F4C99EE7A7}">
  <sheetPr codeName="Arkusz1"/>
  <dimension ref="B3:O7"/>
  <sheetViews>
    <sheetView tabSelected="1" workbookViewId="0">
      <selection activeCell="N9" sqref="N9"/>
    </sheetView>
  </sheetViews>
  <sheetFormatPr defaultRowHeight="15" x14ac:dyDescent="0.25"/>
  <cols>
    <col min="2" max="2" width="13" customWidth="1"/>
    <col min="5" max="5" width="12.28515625" bestFit="1" customWidth="1"/>
    <col min="6" max="6" width="25.140625" bestFit="1" customWidth="1"/>
    <col min="7" max="7" width="20.5703125" bestFit="1" customWidth="1"/>
    <col min="8" max="8" width="4.85546875" customWidth="1"/>
    <col min="9" max="9" width="11.5703125" customWidth="1"/>
    <col min="10" max="10" width="7.140625" customWidth="1"/>
    <col min="11" max="11" width="12.85546875" customWidth="1"/>
    <col min="12" max="12" width="26.85546875" customWidth="1"/>
    <col min="13" max="13" width="22.42578125" customWidth="1"/>
    <col min="14" max="14" width="14.85546875" customWidth="1"/>
    <col min="15" max="15" width="19.7109375" customWidth="1"/>
  </cols>
  <sheetData>
    <row r="3" spans="2:15" x14ac:dyDescent="0.25">
      <c r="B3" t="s">
        <v>0</v>
      </c>
      <c r="C3" t="s">
        <v>1</v>
      </c>
      <c r="D3" t="s">
        <v>2</v>
      </c>
      <c r="E3" s="1" t="s">
        <v>3</v>
      </c>
      <c r="F3" s="1" t="s">
        <v>4</v>
      </c>
      <c r="H3" t="s">
        <v>5</v>
      </c>
      <c r="I3" t="s">
        <v>6</v>
      </c>
      <c r="J3" t="s">
        <v>7</v>
      </c>
      <c r="K3" t="s">
        <v>8</v>
      </c>
      <c r="L3" t="s">
        <v>20</v>
      </c>
      <c r="M3" t="s">
        <v>21</v>
      </c>
      <c r="N3" t="s">
        <v>22</v>
      </c>
      <c r="O3" t="s">
        <v>23</v>
      </c>
    </row>
    <row r="4" spans="2:15" x14ac:dyDescent="0.25">
      <c r="B4">
        <f t="shared" ref="B4:D6" ca="1" si="0">ROUND(RAND()*10,)</f>
        <v>9</v>
      </c>
      <c r="C4">
        <f t="shared" ca="1" si="0"/>
        <v>1</v>
      </c>
      <c r="D4">
        <f t="shared" ca="1" si="0"/>
        <v>6</v>
      </c>
      <c r="E4" s="1" cm="1">
        <f t="array" aca="1" ref="E4" ca="1">ROUND(Obliczenia(B4,C4,D4),2)</f>
        <v>1.33</v>
      </c>
      <c r="F4" s="1" cm="1">
        <f t="array" aca="1" ref="F4" ca="1">Wieksza(Tabela1[[#This Row],[X1]],Tabela1[[#This Row],[X2]])</f>
        <v>1</v>
      </c>
      <c r="H4">
        <v>1</v>
      </c>
      <c r="I4" t="s">
        <v>13</v>
      </c>
      <c r="J4" t="s">
        <v>17</v>
      </c>
      <c r="K4">
        <v>1012</v>
      </c>
      <c r="L4">
        <v>1350</v>
      </c>
      <c r="M4" t="s">
        <v>12</v>
      </c>
      <c r="N4">
        <v>4.3499999999999996</v>
      </c>
      <c r="O4" cm="1">
        <f t="array" ref="O4">Stypendium(L4,M4,N4)</f>
        <v>925</v>
      </c>
    </row>
    <row r="5" spans="2:15" x14ac:dyDescent="0.25">
      <c r="B5">
        <f t="shared" ca="1" si="0"/>
        <v>8</v>
      </c>
      <c r="C5">
        <f t="shared" ca="1" si="0"/>
        <v>2</v>
      </c>
      <c r="D5">
        <f t="shared" ca="1" si="0"/>
        <v>7</v>
      </c>
      <c r="E5" s="1" cm="1">
        <f t="array" aca="1" ref="E5" ca="1">ROUND(Obliczenia(B5,C5,D5),2)</f>
        <v>0.86</v>
      </c>
      <c r="F5" s="1" cm="1">
        <f t="array" aca="1" ref="F5" ca="1">Wieksza(Tabela1[[#This Row],[X1]],Tabela1[[#This Row],[X2]])</f>
        <v>1</v>
      </c>
      <c r="H5">
        <v>2</v>
      </c>
      <c r="I5" t="s">
        <v>14</v>
      </c>
      <c r="J5" t="s">
        <v>18</v>
      </c>
      <c r="K5">
        <v>1002</v>
      </c>
      <c r="L5">
        <v>932</v>
      </c>
      <c r="M5" t="s">
        <v>9</v>
      </c>
      <c r="N5">
        <v>4.96</v>
      </c>
      <c r="O5" cm="1">
        <f t="array" ref="O5">Stypendium(L5,M5,N5)</f>
        <v>2450</v>
      </c>
    </row>
    <row r="6" spans="2:15" x14ac:dyDescent="0.25">
      <c r="B6">
        <f t="shared" ca="1" si="0"/>
        <v>6</v>
      </c>
      <c r="C6">
        <f t="shared" ca="1" si="0"/>
        <v>5</v>
      </c>
      <c r="D6">
        <f t="shared" ca="1" si="0"/>
        <v>3</v>
      </c>
      <c r="E6" s="1" cm="1">
        <f t="array" aca="1" ref="E6" ca="1">ROUND(Obliczenia(B6,C6,D6),2)</f>
        <v>3</v>
      </c>
      <c r="F6" s="1" cm="1">
        <f t="array" aca="1" ref="F6" ca="1">Wieksza(Tabela1[[#This Row],[X1]],Tabela1[[#This Row],[X2]])</f>
        <v>1</v>
      </c>
      <c r="H6">
        <v>3</v>
      </c>
      <c r="I6" t="s">
        <v>15</v>
      </c>
      <c r="J6" t="s">
        <v>19</v>
      </c>
      <c r="K6">
        <v>1031</v>
      </c>
      <c r="L6">
        <v>2830</v>
      </c>
      <c r="M6" t="s">
        <v>10</v>
      </c>
      <c r="N6">
        <v>3.87</v>
      </c>
      <c r="O6" cm="1">
        <f t="array" ref="O6">Stypendium(L6,M6,N6)</f>
        <v>0</v>
      </c>
    </row>
    <row r="7" spans="2:15" x14ac:dyDescent="0.25">
      <c r="H7">
        <v>4</v>
      </c>
      <c r="I7" t="s">
        <v>16</v>
      </c>
      <c r="J7" t="s">
        <v>16</v>
      </c>
      <c r="K7">
        <v>1024</v>
      </c>
      <c r="L7">
        <v>430</v>
      </c>
      <c r="M7" t="s">
        <v>11</v>
      </c>
      <c r="N7">
        <v>4.6500000000000004</v>
      </c>
      <c r="O7" cm="1">
        <f t="array" ref="O7">Stypendium(L7,M7,N7)</f>
        <v>2400</v>
      </c>
    </row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BF045A5EAFDB4459854BB6EF9C493B7" ma:contentTypeVersion="11" ma:contentTypeDescription="Create a new document." ma:contentTypeScope="" ma:versionID="7c102ca9f9232ff6ad4b86268e5df40b">
  <xsd:schema xmlns:xsd="http://www.w3.org/2001/XMLSchema" xmlns:xs="http://www.w3.org/2001/XMLSchema" xmlns:p="http://schemas.microsoft.com/office/2006/metadata/properties" xmlns:ns3="90d2300d-56d2-4036-b8c1-adbd1c63bd83" xmlns:ns4="56b8b8b2-6375-4c75-aa8a-4a145dd76c3f" targetNamespace="http://schemas.microsoft.com/office/2006/metadata/properties" ma:root="true" ma:fieldsID="d84d1bc85337a35c57731cb01f06fcf5" ns3:_="" ns4:_="">
    <xsd:import namespace="90d2300d-56d2-4036-b8c1-adbd1c63bd83"/>
    <xsd:import namespace="56b8b8b2-6375-4c75-aa8a-4a145dd76c3f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ObjectDetectorVersions" minOccurs="0"/>
                <xsd:element ref="ns4:_activity" minOccurs="0"/>
                <xsd:element ref="ns4:MediaServiceGenerationTime" minOccurs="0"/>
                <xsd:element ref="ns4:MediaServiceEventHashCode" minOccurs="0"/>
                <xsd:element ref="ns4:MediaLengthInSecond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d2300d-56d2-4036-b8c1-adbd1c63bd8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b8b8b2-6375-4c75-aa8a-4a145dd76c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4" nillable="true" ma:displayName="_activity" ma:hidden="true" ma:internalName="_activity">
      <xsd:simpleType>
        <xsd:restriction base="dms:Note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6b8b8b2-6375-4c75-aa8a-4a145dd76c3f" xsi:nil="true"/>
  </documentManagement>
</p:properties>
</file>

<file path=customXml/itemProps1.xml><?xml version="1.0" encoding="utf-8"?>
<ds:datastoreItem xmlns:ds="http://schemas.openxmlformats.org/officeDocument/2006/customXml" ds:itemID="{ACD32203-A9F1-438C-A6F7-0213936286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d2300d-56d2-4036-b8c1-adbd1c63bd83"/>
    <ds:schemaRef ds:uri="56b8b8b2-6375-4c75-aa8a-4a145dd76c3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66619BD-2EC5-436F-921E-7E123E38B1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10CA875-96B5-4801-BE6E-7A9A1C37DFBA}">
  <ds:schemaRefs>
    <ds:schemaRef ds:uri="http://purl.org/dc/elements/1.1/"/>
    <ds:schemaRef ds:uri="http://www.w3.org/XML/1998/namespace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dcmitype/"/>
    <ds:schemaRef ds:uri="56b8b8b2-6375-4c75-aa8a-4a145dd76c3f"/>
    <ds:schemaRef ds:uri="http://schemas.microsoft.com/office/infopath/2007/PartnerControls"/>
    <ds:schemaRef ds:uri="90d2300d-56d2-4036-b8c1-adbd1c63bd8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Lewek (272209)</dc:creator>
  <cp:lastModifiedBy>Adrian Lewek (272209)</cp:lastModifiedBy>
  <dcterms:created xsi:type="dcterms:W3CDTF">2024-10-10T13:16:20Z</dcterms:created>
  <dcterms:modified xsi:type="dcterms:W3CDTF">2024-10-10T21:22:32Z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0x010100CBF045A5EAFDB4459854BB6EF9C493B7</vt:lpwstr>
  </property>
</Properties>
</file>