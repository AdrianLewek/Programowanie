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frixi\Desktop\"/>
    </mc:Choice>
  </mc:AlternateContent>
  <xr:revisionPtr revIDLastSave="0" documentId="8_{7BAEAD0E-42CA-4556-8B27-A7E10799C970}" xr6:coauthVersionLast="47" xr6:coauthVersionMax="47" xr10:uidLastSave="{00000000-0000-0000-0000-000000000000}"/>
  <bookViews>
    <workbookView xWindow="-120" yWindow="-120" windowWidth="29040" windowHeight="15720" activeTab="2" xr2:uid="{96E2E8C0-6478-46AD-8E4B-E0F1B3B554D4}"/>
  </bookViews>
  <sheets>
    <sheet name="Zad8_1" sheetId="1" r:id="rId1"/>
    <sheet name="Zad8_2" sheetId="3" r:id="rId2"/>
    <sheet name="Zad8_3" sheetId="2" r:id="rId3"/>
    <sheet name="zad3" sheetId="4" r:id="rId4"/>
    <sheet name="zad4" sheetId="5" r:id="rId5"/>
    <sheet name="zad5" sheetId="6" r:id="rId6"/>
    <sheet name="Zad7" sheetId="7" r:id="rId7"/>
    <sheet name="Zad6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6" l="1" a="1"/>
  <c r="Q2" i="6" a="1"/>
  <c r="J9" i="5" a="1"/>
  <c r="J8" i="5" a="1"/>
  <c r="J7" i="5" a="1"/>
  <c r="J6" i="5" a="1"/>
  <c r="Q3" i="6" l="1"/>
  <c r="Q2" i="6"/>
  <c r="J9" i="5"/>
  <c r="J8" i="5"/>
  <c r="J7" i="5"/>
  <c r="J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<sst xmlns="http://schemas.openxmlformats.org/spreadsheetml/2006/main" count="34" uniqueCount="32">
  <si>
    <t>ERROR</t>
  </si>
  <si>
    <t>Kwota PLN</t>
  </si>
  <si>
    <t>Kwota USD</t>
  </si>
  <si>
    <t>lp</t>
  </si>
  <si>
    <t>Nazwisko</t>
  </si>
  <si>
    <t>Imię</t>
  </si>
  <si>
    <t>Nr indeksu</t>
  </si>
  <si>
    <t>Dochód na członka rodziny</t>
  </si>
  <si>
    <t>Miejsce zamieszkania</t>
  </si>
  <si>
    <t>Średnia ocen</t>
  </si>
  <si>
    <t>Kwota stypendium</t>
  </si>
  <si>
    <t>Nowak</t>
  </si>
  <si>
    <t>Jan</t>
  </si>
  <si>
    <t>Wroclaw</t>
  </si>
  <si>
    <t>Kowalska</t>
  </si>
  <si>
    <t>Maria</t>
  </si>
  <si>
    <t>Kraków</t>
  </si>
  <si>
    <t>Rogal</t>
  </si>
  <si>
    <t>Paweł</t>
  </si>
  <si>
    <t>Poznań</t>
  </si>
  <si>
    <t>Anna</t>
  </si>
  <si>
    <t>Opole</t>
  </si>
  <si>
    <t>Wp</t>
  </si>
  <si>
    <t>Wk</t>
  </si>
  <si>
    <t>Kp</t>
  </si>
  <si>
    <t>Kk</t>
  </si>
  <si>
    <t xml:space="preserve">Dodatnie </t>
  </si>
  <si>
    <t>Ujemne</t>
  </si>
  <si>
    <t>Wynik</t>
  </si>
  <si>
    <t>Kolumna1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</si>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</sst>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4</xdr:row>
          <xdr:rowOff>19050</xdr:rowOff>
        </xdr:from>
        <xdr:to>
          <xdr:col>7</xdr:col>
          <xdr:colOff>323850</xdr:colOff>
          <xdr:row>8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7</xdr:row>
          <xdr:rowOff>0</xdr:rowOff>
        </xdr:from>
        <xdr:to>
          <xdr:col>8</xdr:col>
          <xdr:colOff>295275</xdr:colOff>
          <xdr:row>11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Uruchom Formularz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6F2CE9-1CF8-4C47-99F8-D93519E3AC91}" name="Tabela2" displayName="Tabela2" ref="C5:J9" totalsRowShown="0">
  <autoFilter ref="C5:J9" xr:uid="{F46F2CE9-1CF8-4C47-99F8-D93519E3AC91}"/>
  <tableColumns count="8">
    <tableColumn id="1" xr3:uid="{BF174499-5AAB-49C3-8A49-CA4919AAF411}" name="lp"/>
    <tableColumn id="2" xr3:uid="{FEAA84F8-6DCA-48DA-A88A-36BC667AF315}" name="Nazwisko"/>
    <tableColumn id="3" xr3:uid="{A06F1DED-998F-4B4A-A771-CD6E4371E724}" name="Imię"/>
    <tableColumn id="4" xr3:uid="{11071A01-60BD-475A-A81A-6CAE2B8C5EA4}" name="Nr indeksu"/>
    <tableColumn id="5" xr3:uid="{25059F19-1F87-4CB4-A4E0-D5BEC9BE7A27}" name="Dochód na członka rodziny"/>
    <tableColumn id="6" xr3:uid="{B3B2CB33-E2CB-4BEE-8D9F-FBCAD547A21C}" name="Miejsce zamieszkania"/>
    <tableColumn id="7" xr3:uid="{D29E8A3B-2D4E-4C16-A7E4-8311CD9B37B7}" name="Średnia ocen"/>
    <tableColumn id="8" xr3:uid="{ED01B7E2-F0CE-4F4C-808F-E5F5703E8EAF}" name="Kwota stypendium">
      <calculatedColumnFormula array="1">Stypendium(G6,H6,I6)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5E32E2-1D01-4A75-A54D-C41D5276683D}" name="Tabela3" displayName="Tabela3" ref="L1:Q3" totalsRowShown="0">
  <autoFilter ref="L1:Q3" xr:uid="{4D5E32E2-1D01-4A75-A54D-C41D5276683D}"/>
  <tableColumns count="6">
    <tableColumn id="1" xr3:uid="{7B5B3101-FCEE-4F96-9D34-4DA3BB81DAAA}" name="Kolumna1"/>
    <tableColumn id="2" xr3:uid="{77813530-18A9-49A7-8BFE-286E8F81D82A}" name="Wp"/>
    <tableColumn id="3" xr3:uid="{634A553A-AABD-4C2F-9FAE-68AA1DDC3089}" name="Wk"/>
    <tableColumn id="4" xr3:uid="{111A8B86-C747-4095-889D-2BB51C43FFD9}" name="Kp"/>
    <tableColumn id="5" xr3:uid="{1511D194-DF1C-45BD-AC56-F999F2E66745}" name="Kk"/>
    <tableColumn id="6" xr3:uid="{AFF8A9CC-2DFF-494E-97B9-BAEEC5EAE1FD}" name="Wynik">
      <calculatedColumnFormula array="1">Ile_Ujemnych_WK(M2,N2,O2,P2)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58DE9-320D-4E39-A448-CADF9E3C89E7}">
  <sheetPr codeName="Arkusz1"/>
  <dimension ref="A1:J20"/>
  <sheetViews>
    <sheetView workbookViewId="0">
      <selection activeCell="E29" sqref="E29"/>
    </sheetView>
  </sheetViews>
  <sheetFormatPr defaultRowHeight="15" x14ac:dyDescent="0.25"/>
  <sheetData>
    <row r="1" spans="1:10" x14ac:dyDescent="0.25">
      <c r="A1">
        <v>1</v>
      </c>
      <c r="B1" t="s">
        <v>30</v>
      </c>
      <c r="C1">
        <v>4</v>
      </c>
      <c r="D1">
        <v>-12</v>
      </c>
      <c r="E1">
        <v>-48</v>
      </c>
      <c r="F1">
        <v>-17</v>
      </c>
      <c r="G1">
        <v>50</v>
      </c>
      <c r="H1">
        <v>-58</v>
      </c>
      <c r="I1">
        <v>-39</v>
      </c>
      <c r="J1">
        <v>-50</v>
      </c>
    </row>
    <row r="2" spans="1:10" x14ac:dyDescent="0.25">
      <c r="A2">
        <v>-71</v>
      </c>
      <c r="B2">
        <v>-14.2</v>
      </c>
      <c r="C2">
        <v>-4</v>
      </c>
      <c r="D2">
        <v>-24</v>
      </c>
      <c r="E2">
        <v>55</v>
      </c>
      <c r="F2">
        <v>-35</v>
      </c>
      <c r="G2">
        <v>-68</v>
      </c>
      <c r="H2">
        <v>91</v>
      </c>
      <c r="I2">
        <v>52</v>
      </c>
      <c r="J2">
        <v>-47</v>
      </c>
    </row>
    <row r="3" spans="1:10" x14ac:dyDescent="0.25">
      <c r="A3">
        <v>51</v>
      </c>
      <c r="B3">
        <v>10.199999999999999</v>
      </c>
      <c r="C3">
        <v>-75</v>
      </c>
      <c r="D3">
        <v>-77</v>
      </c>
      <c r="E3">
        <v>60</v>
      </c>
      <c r="F3">
        <v>33</v>
      </c>
      <c r="G3">
        <v>-77</v>
      </c>
      <c r="H3">
        <v>-42</v>
      </c>
      <c r="I3">
        <v>1</v>
      </c>
      <c r="J3">
        <v>34</v>
      </c>
    </row>
    <row r="4" spans="1:10" x14ac:dyDescent="0.25">
      <c r="A4">
        <v>3</v>
      </c>
      <c r="B4">
        <v>0.6</v>
      </c>
      <c r="C4" t="s">
        <v>31</v>
      </c>
      <c r="D4">
        <v>-53</v>
      </c>
      <c r="E4">
        <v>30</v>
      </c>
      <c r="F4">
        <v>78</v>
      </c>
      <c r="G4">
        <v>57</v>
      </c>
      <c r="H4">
        <v>-17</v>
      </c>
      <c r="I4">
        <v>19</v>
      </c>
      <c r="J4">
        <v>-27</v>
      </c>
    </row>
    <row r="5" spans="1:10" x14ac:dyDescent="0.25">
      <c r="A5">
        <v>31</v>
      </c>
      <c r="B5">
        <v>6.2</v>
      </c>
      <c r="C5">
        <v>56</v>
      </c>
      <c r="D5">
        <v>-14</v>
      </c>
      <c r="E5">
        <v>20</v>
      </c>
      <c r="F5">
        <v>68</v>
      </c>
      <c r="G5">
        <v>23</v>
      </c>
      <c r="H5">
        <v>5</v>
      </c>
      <c r="I5">
        <v>-27</v>
      </c>
      <c r="J5">
        <v>-86</v>
      </c>
    </row>
    <row r="6" spans="1:10" x14ac:dyDescent="0.25">
      <c r="A6">
        <v>82</v>
      </c>
      <c r="B6">
        <v>16.399999999999999</v>
      </c>
      <c r="C6">
        <v>-27</v>
      </c>
      <c r="D6">
        <v>93</v>
      </c>
      <c r="E6">
        <v>-6</v>
      </c>
      <c r="F6">
        <v>92</v>
      </c>
      <c r="G6">
        <v>13</v>
      </c>
      <c r="H6">
        <v>79</v>
      </c>
      <c r="I6">
        <v>9</v>
      </c>
      <c r="J6">
        <v>-64</v>
      </c>
    </row>
    <row r="7" spans="1:10" x14ac:dyDescent="0.25">
      <c r="A7">
        <v>14</v>
      </c>
      <c r="B7">
        <v>2.8</v>
      </c>
      <c r="C7">
        <v>-56</v>
      </c>
      <c r="D7">
        <v>91</v>
      </c>
      <c r="E7">
        <v>-99</v>
      </c>
      <c r="F7">
        <v>-21</v>
      </c>
      <c r="G7">
        <v>40</v>
      </c>
      <c r="H7">
        <v>-19</v>
      </c>
      <c r="I7">
        <v>-37</v>
      </c>
      <c r="J7">
        <v>-26</v>
      </c>
    </row>
    <row r="8" spans="1:10" x14ac:dyDescent="0.25">
      <c r="A8">
        <v>-20</v>
      </c>
      <c r="B8">
        <v>-4</v>
      </c>
      <c r="C8">
        <v>5</v>
      </c>
      <c r="D8">
        <v>-52</v>
      </c>
      <c r="E8">
        <v>9</v>
      </c>
      <c r="F8">
        <v>22</v>
      </c>
      <c r="G8">
        <v>-97</v>
      </c>
      <c r="H8">
        <v>18</v>
      </c>
      <c r="I8">
        <v>-78</v>
      </c>
      <c r="J8">
        <v>91</v>
      </c>
    </row>
    <row r="9" spans="1:10" x14ac:dyDescent="0.25">
      <c r="A9">
        <v>-78</v>
      </c>
      <c r="B9">
        <v>-15.6</v>
      </c>
      <c r="C9">
        <v>6</v>
      </c>
      <c r="D9">
        <v>57</v>
      </c>
      <c r="E9">
        <v>98</v>
      </c>
      <c r="F9">
        <v>-61</v>
      </c>
      <c r="G9">
        <v>39</v>
      </c>
      <c r="H9">
        <v>97</v>
      </c>
      <c r="I9">
        <v>96</v>
      </c>
      <c r="J9">
        <v>-16</v>
      </c>
    </row>
    <row r="10" spans="1:10" x14ac:dyDescent="0.25">
      <c r="A10">
        <v>7</v>
      </c>
      <c r="B10">
        <v>1.4</v>
      </c>
      <c r="C10">
        <v>72</v>
      </c>
      <c r="D10">
        <v>98</v>
      </c>
      <c r="E10">
        <v>-40</v>
      </c>
      <c r="F10">
        <v>-11</v>
      </c>
      <c r="G10">
        <v>46</v>
      </c>
      <c r="H10">
        <v>-94</v>
      </c>
      <c r="I10">
        <v>-61</v>
      </c>
      <c r="J10">
        <v>99</v>
      </c>
    </row>
    <row r="11" spans="1:10" x14ac:dyDescent="0.25">
      <c r="A11">
        <v>82</v>
      </c>
      <c r="B11">
        <v>16.399999999999999</v>
      </c>
      <c r="C11">
        <v>-47</v>
      </c>
      <c r="D11">
        <v>13</v>
      </c>
      <c r="E11">
        <v>0</v>
      </c>
      <c r="F11">
        <v>14</v>
      </c>
      <c r="G11">
        <v>7</v>
      </c>
      <c r="H11">
        <v>-29</v>
      </c>
      <c r="I11">
        <v>-25</v>
      </c>
      <c r="J11">
        <v>32</v>
      </c>
    </row>
    <row r="12" spans="1:10" x14ac:dyDescent="0.25">
      <c r="A12">
        <v>-41</v>
      </c>
      <c r="B12">
        <v>34</v>
      </c>
      <c r="C12">
        <v>-63</v>
      </c>
      <c r="D12">
        <v>18</v>
      </c>
      <c r="E12">
        <v>-36</v>
      </c>
      <c r="F12">
        <v>-85</v>
      </c>
      <c r="G12">
        <v>-44</v>
      </c>
      <c r="H12">
        <v>-69</v>
      </c>
      <c r="I12">
        <v>45</v>
      </c>
      <c r="J12">
        <v>-55</v>
      </c>
    </row>
    <row r="13" spans="1:10" x14ac:dyDescent="0.25">
      <c r="A13">
        <v>-54</v>
      </c>
      <c r="B13">
        <v>64</v>
      </c>
      <c r="C13">
        <v>-37</v>
      </c>
      <c r="D13">
        <v>-35</v>
      </c>
      <c r="E13">
        <v>65</v>
      </c>
      <c r="F13">
        <v>72</v>
      </c>
      <c r="G13">
        <v>93</v>
      </c>
      <c r="H13">
        <v>58</v>
      </c>
      <c r="I13">
        <v>-23</v>
      </c>
      <c r="J13">
        <v>87</v>
      </c>
    </row>
    <row r="14" spans="1:10" x14ac:dyDescent="0.25">
      <c r="A14">
        <v>-30</v>
      </c>
      <c r="B14">
        <v>37</v>
      </c>
      <c r="C14">
        <v>-18</v>
      </c>
      <c r="D14">
        <v>-36</v>
      </c>
      <c r="E14">
        <v>60</v>
      </c>
      <c r="F14">
        <v>52</v>
      </c>
      <c r="G14">
        <v>-13</v>
      </c>
      <c r="H14">
        <v>-79</v>
      </c>
      <c r="I14">
        <v>33</v>
      </c>
      <c r="J14">
        <v>-27</v>
      </c>
    </row>
    <row r="15" spans="1:10" x14ac:dyDescent="0.25">
      <c r="A15">
        <v>16</v>
      </c>
      <c r="B15">
        <v>67</v>
      </c>
      <c r="C15">
        <v>13</v>
      </c>
      <c r="D15">
        <v>-14</v>
      </c>
      <c r="E15">
        <v>13</v>
      </c>
      <c r="F15">
        <v>-3</v>
      </c>
      <c r="G15">
        <v>45</v>
      </c>
      <c r="H15">
        <v>-90</v>
      </c>
      <c r="I15">
        <v>10</v>
      </c>
      <c r="J15">
        <v>-89</v>
      </c>
    </row>
    <row r="16" spans="1:10" x14ac:dyDescent="0.25">
      <c r="A16">
        <v>8</v>
      </c>
      <c r="B16">
        <v>-73</v>
      </c>
      <c r="C16">
        <v>85</v>
      </c>
      <c r="D16">
        <v>20</v>
      </c>
      <c r="E16">
        <v>-86</v>
      </c>
      <c r="F16">
        <v>-69</v>
      </c>
      <c r="G16">
        <v>39</v>
      </c>
      <c r="H16">
        <v>-20</v>
      </c>
      <c r="I16">
        <v>-61</v>
      </c>
      <c r="J16">
        <v>0</v>
      </c>
    </row>
    <row r="17" spans="1:10" x14ac:dyDescent="0.25">
      <c r="A17">
        <v>-14</v>
      </c>
      <c r="B17">
        <v>55</v>
      </c>
      <c r="C17">
        <v>-90</v>
      </c>
      <c r="D17">
        <v>83</v>
      </c>
      <c r="E17">
        <v>92</v>
      </c>
      <c r="F17">
        <v>-12</v>
      </c>
      <c r="G17">
        <v>41</v>
      </c>
      <c r="H17">
        <v>70</v>
      </c>
      <c r="I17">
        <v>88</v>
      </c>
      <c r="J17">
        <v>-26</v>
      </c>
    </row>
    <row r="18" spans="1:10" x14ac:dyDescent="0.25">
      <c r="A18">
        <v>-46</v>
      </c>
      <c r="B18">
        <v>54</v>
      </c>
      <c r="C18">
        <v>32</v>
      </c>
      <c r="D18">
        <v>14</v>
      </c>
      <c r="E18">
        <v>-11</v>
      </c>
      <c r="F18">
        <v>48</v>
      </c>
      <c r="G18">
        <v>-70</v>
      </c>
      <c r="H18">
        <v>-23</v>
      </c>
      <c r="I18">
        <v>-48</v>
      </c>
      <c r="J18">
        <v>-83</v>
      </c>
    </row>
    <row r="19" spans="1:10" x14ac:dyDescent="0.25">
      <c r="A19">
        <v>-37</v>
      </c>
      <c r="B19">
        <v>24</v>
      </c>
      <c r="C19">
        <v>55</v>
      </c>
      <c r="D19">
        <v>-27</v>
      </c>
      <c r="E19">
        <v>-14</v>
      </c>
      <c r="F19">
        <v>55</v>
      </c>
      <c r="G19">
        <v>67</v>
      </c>
      <c r="H19">
        <v>60</v>
      </c>
      <c r="I19">
        <v>11</v>
      </c>
      <c r="J19">
        <v>-85</v>
      </c>
    </row>
    <row r="20" spans="1:10" x14ac:dyDescent="0.25">
      <c r="A20">
        <v>-7</v>
      </c>
      <c r="B20">
        <v>34</v>
      </c>
      <c r="C20">
        <v>68</v>
      </c>
      <c r="D20">
        <v>29</v>
      </c>
      <c r="E20">
        <v>25</v>
      </c>
      <c r="F20">
        <v>-55</v>
      </c>
      <c r="G20">
        <v>63</v>
      </c>
      <c r="H20">
        <v>68</v>
      </c>
      <c r="I20">
        <v>-81</v>
      </c>
      <c r="J20">
        <v>-52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09CE9-E5CB-424C-88C1-03046C295662}">
  <sheetPr codeName="Arkusz3"/>
  <dimension ref="A1:J20"/>
  <sheetViews>
    <sheetView workbookViewId="0">
      <selection activeCell="D13" sqref="D13"/>
    </sheetView>
  </sheetViews>
  <sheetFormatPr defaultRowHeight="15" x14ac:dyDescent="0.25"/>
  <cols>
    <col min="2" max="3" width="11" bestFit="1" customWidth="1"/>
    <col min="5" max="5" width="11" bestFit="1" customWidth="1"/>
  </cols>
  <sheetData>
    <row r="1" spans="1:10" x14ac:dyDescent="0.25">
      <c r="A1">
        <v>-40</v>
      </c>
      <c r="B1" t="s">
        <v>30</v>
      </c>
      <c r="C1">
        <v>-7</v>
      </c>
      <c r="D1">
        <v>-17</v>
      </c>
      <c r="E1">
        <v>-114</v>
      </c>
      <c r="F1">
        <v>-78</v>
      </c>
      <c r="G1">
        <v>44</v>
      </c>
      <c r="H1">
        <v>-118</v>
      </c>
      <c r="I1">
        <v>61</v>
      </c>
      <c r="J1">
        <v>-96</v>
      </c>
    </row>
    <row r="2" spans="1:10" x14ac:dyDescent="0.25">
      <c r="A2">
        <v>25</v>
      </c>
      <c r="B2">
        <v>36</v>
      </c>
      <c r="C2">
        <v>4</v>
      </c>
      <c r="D2">
        <v>-102</v>
      </c>
      <c r="E2">
        <v>-34</v>
      </c>
      <c r="F2">
        <v>-28</v>
      </c>
      <c r="G2">
        <v>-119</v>
      </c>
      <c r="H2">
        <v>52</v>
      </c>
      <c r="I2">
        <v>42</v>
      </c>
      <c r="J2">
        <v>-57</v>
      </c>
    </row>
    <row r="3" spans="1:10" x14ac:dyDescent="0.25">
      <c r="A3">
        <v>-14</v>
      </c>
      <c r="B3">
        <v>-127</v>
      </c>
      <c r="C3">
        <v>-144</v>
      </c>
      <c r="D3">
        <v>-110</v>
      </c>
      <c r="E3">
        <v>3</v>
      </c>
      <c r="F3">
        <v>-9</v>
      </c>
      <c r="G3">
        <v>-47</v>
      </c>
      <c r="H3">
        <v>-16</v>
      </c>
      <c r="I3">
        <v>-4</v>
      </c>
      <c r="J3">
        <v>11</v>
      </c>
    </row>
    <row r="4" spans="1:10" x14ac:dyDescent="0.25">
      <c r="A4">
        <v>98</v>
      </c>
      <c r="B4">
        <v>41</v>
      </c>
      <c r="C4">
        <v>-25</v>
      </c>
      <c r="D4">
        <v>21</v>
      </c>
      <c r="E4">
        <v>77</v>
      </c>
      <c r="F4">
        <v>149</v>
      </c>
      <c r="G4">
        <v>35</v>
      </c>
      <c r="H4">
        <v>-24</v>
      </c>
      <c r="I4">
        <v>-58</v>
      </c>
      <c r="J4">
        <v>-9</v>
      </c>
    </row>
    <row r="5" spans="1:10" x14ac:dyDescent="0.25">
      <c r="A5">
        <v>96</v>
      </c>
      <c r="B5">
        <v>-131</v>
      </c>
      <c r="C5">
        <v>-3</v>
      </c>
      <c r="D5">
        <v>-34</v>
      </c>
      <c r="E5">
        <v>-4</v>
      </c>
      <c r="F5">
        <v>6</v>
      </c>
      <c r="G5">
        <v>-76</v>
      </c>
      <c r="H5">
        <v>-60</v>
      </c>
      <c r="I5">
        <v>60</v>
      </c>
      <c r="J5">
        <v>-81</v>
      </c>
    </row>
    <row r="6" spans="1:10" x14ac:dyDescent="0.25">
      <c r="A6">
        <v>9</v>
      </c>
      <c r="B6">
        <v>30</v>
      </c>
      <c r="C6">
        <v>-73</v>
      </c>
      <c r="D6">
        <v>170</v>
      </c>
      <c r="E6">
        <v>-61</v>
      </c>
      <c r="F6">
        <v>-8</v>
      </c>
      <c r="G6">
        <v>28</v>
      </c>
      <c r="H6">
        <v>36</v>
      </c>
      <c r="I6">
        <v>-87</v>
      </c>
      <c r="J6">
        <v>-144</v>
      </c>
    </row>
    <row r="7" spans="1:10" x14ac:dyDescent="0.25">
      <c r="A7">
        <v>-33</v>
      </c>
      <c r="B7">
        <v>11</v>
      </c>
      <c r="C7">
        <v>-14</v>
      </c>
      <c r="D7">
        <v>179</v>
      </c>
      <c r="E7">
        <v>-87</v>
      </c>
      <c r="F7">
        <v>-63</v>
      </c>
      <c r="G7">
        <v>93</v>
      </c>
      <c r="H7">
        <v>72</v>
      </c>
      <c r="I7">
        <v>-120</v>
      </c>
      <c r="J7">
        <v>-96</v>
      </c>
    </row>
    <row r="8" spans="1:10" x14ac:dyDescent="0.25">
      <c r="A8">
        <v>-76</v>
      </c>
      <c r="B8">
        <v>30</v>
      </c>
      <c r="C8">
        <v>32</v>
      </c>
      <c r="D8">
        <v>-70</v>
      </c>
      <c r="E8">
        <v>61</v>
      </c>
      <c r="F8">
        <v>-38</v>
      </c>
      <c r="G8">
        <v>-81</v>
      </c>
      <c r="H8">
        <v>-51</v>
      </c>
      <c r="I8">
        <v>-4</v>
      </c>
      <c r="J8">
        <v>112</v>
      </c>
    </row>
    <row r="9" spans="1:10" x14ac:dyDescent="0.25">
      <c r="A9">
        <v>-127</v>
      </c>
      <c r="B9">
        <v>-27</v>
      </c>
      <c r="C9">
        <v>15</v>
      </c>
      <c r="D9">
        <v>69</v>
      </c>
      <c r="E9">
        <v>61</v>
      </c>
      <c r="F9">
        <v>-123</v>
      </c>
      <c r="G9">
        <v>-10</v>
      </c>
      <c r="H9">
        <v>121</v>
      </c>
      <c r="I9">
        <v>99</v>
      </c>
      <c r="J9">
        <v>-111</v>
      </c>
    </row>
    <row r="10" spans="1:10" x14ac:dyDescent="0.25">
      <c r="A10">
        <v>-27</v>
      </c>
      <c r="B10">
        <v>47</v>
      </c>
      <c r="C10">
        <v>170</v>
      </c>
      <c r="D10">
        <v>89</v>
      </c>
      <c r="E10">
        <v>-41</v>
      </c>
      <c r="F10">
        <v>-57</v>
      </c>
      <c r="G10">
        <v>-7</v>
      </c>
      <c r="H10">
        <v>-70</v>
      </c>
      <c r="I10">
        <v>-139</v>
      </c>
      <c r="J10">
        <v>166</v>
      </c>
    </row>
    <row r="11" spans="1:10" x14ac:dyDescent="0.25">
      <c r="A11">
        <v>125</v>
      </c>
      <c r="B11">
        <v>118</v>
      </c>
      <c r="C11">
        <v>-122</v>
      </c>
      <c r="D11">
        <v>104</v>
      </c>
      <c r="E11">
        <v>92</v>
      </c>
      <c r="F11">
        <v>78</v>
      </c>
      <c r="G11">
        <v>84</v>
      </c>
      <c r="H11">
        <v>-63</v>
      </c>
      <c r="I11">
        <v>18</v>
      </c>
      <c r="J11">
        <v>-50</v>
      </c>
    </row>
    <row r="12" spans="1:10" x14ac:dyDescent="0.25">
      <c r="A12">
        <v>-84</v>
      </c>
      <c r="B12">
        <v>31</v>
      </c>
      <c r="C12">
        <v>13</v>
      </c>
      <c r="D12">
        <v>13</v>
      </c>
      <c r="E12">
        <v>-17</v>
      </c>
      <c r="F12">
        <v>-151</v>
      </c>
      <c r="G12">
        <v>-139</v>
      </c>
      <c r="H12">
        <v>-90</v>
      </c>
      <c r="I12">
        <v>-6</v>
      </c>
      <c r="J12">
        <v>-28</v>
      </c>
    </row>
    <row r="13" spans="1:10" x14ac:dyDescent="0.25">
      <c r="A13">
        <v>38</v>
      </c>
      <c r="B13">
        <v>-9</v>
      </c>
      <c r="C13">
        <v>-8</v>
      </c>
      <c r="D13">
        <v>57</v>
      </c>
      <c r="E13">
        <v>44</v>
      </c>
      <c r="F13">
        <v>137</v>
      </c>
      <c r="G13">
        <v>99</v>
      </c>
      <c r="H13">
        <v>69</v>
      </c>
      <c r="I13">
        <v>12</v>
      </c>
      <c r="J13">
        <v>68</v>
      </c>
    </row>
    <row r="14" spans="1:10" x14ac:dyDescent="0.25">
      <c r="A14">
        <v>67</v>
      </c>
      <c r="B14">
        <v>134</v>
      </c>
      <c r="C14">
        <v>-7</v>
      </c>
      <c r="D14">
        <v>40</v>
      </c>
      <c r="E14">
        <v>148</v>
      </c>
      <c r="F14">
        <v>82</v>
      </c>
      <c r="G14">
        <v>-66</v>
      </c>
      <c r="H14">
        <v>-64</v>
      </c>
      <c r="I14">
        <v>-37</v>
      </c>
      <c r="J14">
        <v>-82</v>
      </c>
    </row>
    <row r="15" spans="1:10" x14ac:dyDescent="0.25">
      <c r="A15">
        <v>49</v>
      </c>
      <c r="B15">
        <v>-4</v>
      </c>
      <c r="C15">
        <v>14</v>
      </c>
      <c r="D15">
        <v>-29</v>
      </c>
      <c r="E15">
        <v>46</v>
      </c>
      <c r="F15">
        <v>-58</v>
      </c>
      <c r="G15">
        <v>-17</v>
      </c>
      <c r="H15">
        <v>-121</v>
      </c>
      <c r="I15">
        <v>-26</v>
      </c>
      <c r="J15">
        <v>-50</v>
      </c>
    </row>
    <row r="16" spans="1:10" x14ac:dyDescent="0.25">
      <c r="A16">
        <v>-45</v>
      </c>
      <c r="B16">
        <v>-93</v>
      </c>
      <c r="C16">
        <v>86</v>
      </c>
      <c r="D16">
        <v>28</v>
      </c>
      <c r="E16">
        <v>-19</v>
      </c>
      <c r="F16">
        <v>-135</v>
      </c>
      <c r="G16">
        <v>-12</v>
      </c>
      <c r="H16">
        <v>12</v>
      </c>
      <c r="I16">
        <v>-102</v>
      </c>
      <c r="J16">
        <v>35</v>
      </c>
    </row>
    <row r="17" spans="1:10" x14ac:dyDescent="0.25">
      <c r="A17">
        <v>78</v>
      </c>
      <c r="B17">
        <v>-17</v>
      </c>
      <c r="C17">
        <v>6</v>
      </c>
      <c r="D17">
        <v>104</v>
      </c>
      <c r="E17">
        <v>163</v>
      </c>
      <c r="F17">
        <v>-12</v>
      </c>
      <c r="G17">
        <v>15</v>
      </c>
      <c r="H17">
        <v>134</v>
      </c>
      <c r="I17">
        <v>69</v>
      </c>
      <c r="J17">
        <v>-65</v>
      </c>
    </row>
    <row r="18" spans="1:10" x14ac:dyDescent="0.25">
      <c r="A18">
        <v>-86</v>
      </c>
      <c r="B18">
        <v>-14</v>
      </c>
      <c r="C18">
        <v>43</v>
      </c>
      <c r="D18">
        <v>90</v>
      </c>
      <c r="E18">
        <v>-8</v>
      </c>
      <c r="F18">
        <v>-27</v>
      </c>
      <c r="G18">
        <v>-126</v>
      </c>
      <c r="H18">
        <v>33</v>
      </c>
      <c r="I18">
        <v>-9</v>
      </c>
      <c r="J18">
        <v>-54</v>
      </c>
    </row>
    <row r="19" spans="1:10" x14ac:dyDescent="0.25">
      <c r="A19">
        <v>39</v>
      </c>
      <c r="B19">
        <v>-61</v>
      </c>
      <c r="C19">
        <v>-38</v>
      </c>
      <c r="D19">
        <v>15</v>
      </c>
      <c r="E19">
        <v>77</v>
      </c>
      <c r="F19">
        <v>-1</v>
      </c>
      <c r="G19">
        <v>22</v>
      </c>
      <c r="H19">
        <v>110</v>
      </c>
      <c r="I19">
        <v>-85</v>
      </c>
      <c r="J19">
        <v>-131</v>
      </c>
    </row>
    <row r="20" spans="1:10" x14ac:dyDescent="0.25">
      <c r="A20">
        <v>-69</v>
      </c>
      <c r="B20">
        <v>111</v>
      </c>
      <c r="C20">
        <v>77</v>
      </c>
      <c r="D20">
        <v>20</v>
      </c>
      <c r="E20">
        <v>5</v>
      </c>
      <c r="F20">
        <v>23</v>
      </c>
      <c r="G20">
        <v>21</v>
      </c>
      <c r="H20">
        <v>35</v>
      </c>
      <c r="I20">
        <v>-123</v>
      </c>
      <c r="J20">
        <v>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F7761-F593-4FD6-B04D-26FDFDFE709A}">
  <sheetPr codeName="Arkusz2"/>
  <dimension ref="A1:J20"/>
  <sheetViews>
    <sheetView tabSelected="1" workbookViewId="0">
      <selection activeCell="P11" sqref="P11"/>
    </sheetView>
  </sheetViews>
  <sheetFormatPr defaultRowHeight="15" x14ac:dyDescent="0.25"/>
  <sheetData>
    <row r="1" spans="1:10" x14ac:dyDescent="0.25">
      <c r="A1">
        <v>-39</v>
      </c>
      <c r="B1" t="s">
        <v>0</v>
      </c>
      <c r="C1">
        <v>-3</v>
      </c>
      <c r="D1">
        <v>-29</v>
      </c>
      <c r="E1">
        <v>-162</v>
      </c>
      <c r="F1">
        <v>-95</v>
      </c>
      <c r="G1">
        <v>94</v>
      </c>
      <c r="H1">
        <v>-176</v>
      </c>
      <c r="I1">
        <v>22</v>
      </c>
      <c r="J1">
        <v>-146</v>
      </c>
    </row>
    <row r="2" spans="1:10" x14ac:dyDescent="0.25">
      <c r="A2">
        <v>-46</v>
      </c>
      <c r="B2">
        <v>21.8</v>
      </c>
      <c r="C2">
        <v>0</v>
      </c>
      <c r="D2">
        <v>-126</v>
      </c>
      <c r="E2">
        <v>21</v>
      </c>
      <c r="F2">
        <v>-63</v>
      </c>
      <c r="G2">
        <v>-187</v>
      </c>
      <c r="H2">
        <v>143</v>
      </c>
      <c r="I2">
        <v>94</v>
      </c>
      <c r="J2">
        <v>-104</v>
      </c>
    </row>
    <row r="3" spans="1:10" x14ac:dyDescent="0.25">
      <c r="A3">
        <v>37</v>
      </c>
      <c r="B3">
        <v>-116.8</v>
      </c>
      <c r="C3">
        <v>-219</v>
      </c>
      <c r="D3">
        <v>-187</v>
      </c>
      <c r="E3">
        <v>63</v>
      </c>
      <c r="F3">
        <v>24</v>
      </c>
      <c r="G3">
        <v>-124</v>
      </c>
      <c r="H3">
        <v>-58</v>
      </c>
      <c r="I3">
        <v>-3</v>
      </c>
      <c r="J3">
        <v>45</v>
      </c>
    </row>
    <row r="4" spans="1:10" x14ac:dyDescent="0.25">
      <c r="A4">
        <v>101</v>
      </c>
      <c r="B4">
        <v>41.6</v>
      </c>
      <c r="C4">
        <v>-25</v>
      </c>
      <c r="D4">
        <v>-32</v>
      </c>
      <c r="E4">
        <v>107</v>
      </c>
      <c r="F4">
        <v>227</v>
      </c>
      <c r="G4">
        <v>92</v>
      </c>
      <c r="H4">
        <v>-41</v>
      </c>
      <c r="I4">
        <v>-39</v>
      </c>
      <c r="J4">
        <v>-36</v>
      </c>
    </row>
    <row r="5" spans="1:10" x14ac:dyDescent="0.25">
      <c r="A5">
        <v>127</v>
      </c>
      <c r="B5">
        <v>-124.8</v>
      </c>
      <c r="C5">
        <v>53</v>
      </c>
      <c r="D5">
        <v>-48</v>
      </c>
      <c r="E5">
        <v>16</v>
      </c>
      <c r="F5">
        <v>74</v>
      </c>
      <c r="G5">
        <v>-53</v>
      </c>
      <c r="H5">
        <v>-55</v>
      </c>
      <c r="I5">
        <v>33</v>
      </c>
      <c r="J5">
        <v>-167</v>
      </c>
    </row>
    <row r="6" spans="1:10" x14ac:dyDescent="0.25">
      <c r="A6">
        <v>91</v>
      </c>
      <c r="B6">
        <v>46.4</v>
      </c>
      <c r="C6">
        <v>-100</v>
      </c>
      <c r="D6">
        <v>263</v>
      </c>
      <c r="E6">
        <v>-67</v>
      </c>
      <c r="F6">
        <v>84</v>
      </c>
      <c r="G6">
        <v>41</v>
      </c>
      <c r="H6">
        <v>115</v>
      </c>
      <c r="I6">
        <v>-78</v>
      </c>
      <c r="J6">
        <v>-208</v>
      </c>
    </row>
    <row r="7" spans="1:10" x14ac:dyDescent="0.25">
      <c r="A7">
        <v>-19</v>
      </c>
      <c r="B7">
        <v>13.8</v>
      </c>
      <c r="C7">
        <v>-70</v>
      </c>
      <c r="D7">
        <v>270</v>
      </c>
      <c r="E7">
        <v>-186</v>
      </c>
      <c r="F7">
        <v>-84</v>
      </c>
      <c r="G7">
        <v>133</v>
      </c>
      <c r="H7">
        <v>53</v>
      </c>
      <c r="I7">
        <v>-157</v>
      </c>
      <c r="J7">
        <v>-122</v>
      </c>
    </row>
    <row r="8" spans="1:10" x14ac:dyDescent="0.25">
      <c r="A8">
        <v>-96</v>
      </c>
      <c r="B8">
        <v>26</v>
      </c>
      <c r="C8">
        <v>37</v>
      </c>
      <c r="D8">
        <v>-122</v>
      </c>
      <c r="E8">
        <v>70</v>
      </c>
      <c r="F8">
        <v>-16</v>
      </c>
      <c r="G8">
        <v>-178</v>
      </c>
      <c r="H8">
        <v>-33</v>
      </c>
      <c r="I8">
        <v>-82</v>
      </c>
      <c r="J8">
        <v>203</v>
      </c>
    </row>
    <row r="9" spans="1:10" x14ac:dyDescent="0.25">
      <c r="A9">
        <v>-205</v>
      </c>
      <c r="B9">
        <v>-42.6</v>
      </c>
      <c r="C9">
        <v>21</v>
      </c>
      <c r="D9">
        <v>126</v>
      </c>
      <c r="E9">
        <v>159</v>
      </c>
      <c r="F9">
        <v>-184</v>
      </c>
      <c r="G9">
        <v>29</v>
      </c>
      <c r="H9">
        <v>218</v>
      </c>
      <c r="I9">
        <v>195</v>
      </c>
      <c r="J9">
        <v>-127</v>
      </c>
    </row>
    <row r="10" spans="1:10" x14ac:dyDescent="0.25">
      <c r="A10">
        <v>-20</v>
      </c>
      <c r="B10">
        <v>48.4</v>
      </c>
      <c r="C10">
        <v>242</v>
      </c>
      <c r="D10">
        <v>187</v>
      </c>
      <c r="E10">
        <v>-81</v>
      </c>
      <c r="F10">
        <v>-68</v>
      </c>
      <c r="G10">
        <v>39</v>
      </c>
      <c r="H10">
        <v>-164</v>
      </c>
      <c r="I10">
        <v>-200</v>
      </c>
      <c r="J10">
        <v>265</v>
      </c>
    </row>
    <row r="11" spans="1:10" x14ac:dyDescent="0.25">
      <c r="A11">
        <v>207</v>
      </c>
      <c r="B11">
        <v>134.4</v>
      </c>
      <c r="C11">
        <v>-169</v>
      </c>
      <c r="D11">
        <v>117</v>
      </c>
      <c r="E11">
        <v>92</v>
      </c>
      <c r="F11">
        <v>92</v>
      </c>
      <c r="G11">
        <v>91</v>
      </c>
      <c r="H11">
        <v>-92</v>
      </c>
      <c r="I11">
        <v>-7</v>
      </c>
      <c r="J11">
        <v>-18</v>
      </c>
    </row>
    <row r="12" spans="1:10" x14ac:dyDescent="0.25">
      <c r="A12">
        <v>-125</v>
      </c>
      <c r="B12">
        <v>65</v>
      </c>
      <c r="C12">
        <v>-50</v>
      </c>
      <c r="D12">
        <v>31</v>
      </c>
      <c r="E12">
        <v>-53</v>
      </c>
      <c r="F12">
        <v>-236</v>
      </c>
      <c r="G12">
        <v>-183</v>
      </c>
      <c r="H12">
        <v>-159</v>
      </c>
      <c r="I12">
        <v>39</v>
      </c>
      <c r="J12">
        <v>-83</v>
      </c>
    </row>
    <row r="13" spans="1:10" x14ac:dyDescent="0.25">
      <c r="A13">
        <v>-16</v>
      </c>
      <c r="B13">
        <v>55</v>
      </c>
      <c r="C13">
        <v>-45</v>
      </c>
      <c r="D13">
        <v>22</v>
      </c>
      <c r="E13">
        <v>109</v>
      </c>
      <c r="F13">
        <v>209</v>
      </c>
      <c r="G13">
        <v>192</v>
      </c>
      <c r="H13">
        <v>127</v>
      </c>
      <c r="I13">
        <v>-11</v>
      </c>
      <c r="J13">
        <v>155</v>
      </c>
    </row>
    <row r="14" spans="1:10" x14ac:dyDescent="0.25">
      <c r="A14">
        <v>37</v>
      </c>
      <c r="B14">
        <v>171</v>
      </c>
      <c r="C14">
        <v>-25</v>
      </c>
      <c r="D14">
        <v>4</v>
      </c>
      <c r="E14">
        <v>208</v>
      </c>
      <c r="F14">
        <v>134</v>
      </c>
      <c r="G14">
        <v>-79</v>
      </c>
      <c r="H14">
        <v>-143</v>
      </c>
      <c r="I14">
        <v>-4</v>
      </c>
      <c r="J14">
        <v>-109</v>
      </c>
    </row>
    <row r="15" spans="1:10" x14ac:dyDescent="0.25">
      <c r="A15">
        <v>65</v>
      </c>
      <c r="B15">
        <v>63</v>
      </c>
      <c r="C15">
        <v>27</v>
      </c>
      <c r="D15">
        <v>-43</v>
      </c>
      <c r="E15">
        <v>59</v>
      </c>
      <c r="F15">
        <v>-61</v>
      </c>
      <c r="G15">
        <v>28</v>
      </c>
      <c r="H15">
        <v>-211</v>
      </c>
      <c r="I15">
        <v>-16</v>
      </c>
      <c r="J15">
        <v>-139</v>
      </c>
    </row>
    <row r="16" spans="1:10" x14ac:dyDescent="0.25">
      <c r="A16">
        <v>-37</v>
      </c>
      <c r="B16">
        <v>-166</v>
      </c>
      <c r="C16">
        <v>171</v>
      </c>
      <c r="D16">
        <v>48</v>
      </c>
      <c r="E16">
        <v>-105</v>
      </c>
      <c r="F16">
        <v>-204</v>
      </c>
      <c r="G16">
        <v>27</v>
      </c>
      <c r="H16">
        <v>-8</v>
      </c>
      <c r="I16">
        <v>-163</v>
      </c>
      <c r="J16">
        <v>35</v>
      </c>
    </row>
    <row r="17" spans="1:10" x14ac:dyDescent="0.25">
      <c r="A17">
        <v>64</v>
      </c>
      <c r="B17">
        <v>38</v>
      </c>
      <c r="C17">
        <v>-84</v>
      </c>
      <c r="D17">
        <v>187</v>
      </c>
      <c r="E17">
        <v>255</v>
      </c>
      <c r="F17">
        <v>-24</v>
      </c>
      <c r="G17">
        <v>56</v>
      </c>
      <c r="H17">
        <v>204</v>
      </c>
      <c r="I17">
        <v>157</v>
      </c>
      <c r="J17">
        <v>-91</v>
      </c>
    </row>
    <row r="18" spans="1:10" x14ac:dyDescent="0.25">
      <c r="A18">
        <v>-132</v>
      </c>
      <c r="B18">
        <v>40</v>
      </c>
      <c r="C18">
        <v>75</v>
      </c>
      <c r="D18">
        <v>104</v>
      </c>
      <c r="E18">
        <v>-19</v>
      </c>
      <c r="F18">
        <v>21</v>
      </c>
      <c r="G18">
        <v>-196</v>
      </c>
      <c r="H18">
        <v>10</v>
      </c>
      <c r="I18">
        <v>-57</v>
      </c>
      <c r="J18">
        <v>-137</v>
      </c>
    </row>
    <row r="19" spans="1:10" x14ac:dyDescent="0.25">
      <c r="A19">
        <v>2</v>
      </c>
      <c r="B19">
        <v>-37</v>
      </c>
      <c r="C19">
        <v>17</v>
      </c>
      <c r="D19">
        <v>-12</v>
      </c>
      <c r="E19">
        <v>63</v>
      </c>
      <c r="F19">
        <v>54</v>
      </c>
      <c r="G19">
        <v>89</v>
      </c>
      <c r="H19">
        <v>170</v>
      </c>
      <c r="I19">
        <v>-74</v>
      </c>
      <c r="J19">
        <v>-216</v>
      </c>
    </row>
    <row r="20" spans="1:10" x14ac:dyDescent="0.25">
      <c r="A20">
        <v>-76</v>
      </c>
      <c r="B20">
        <v>145</v>
      </c>
      <c r="C20">
        <v>145</v>
      </c>
      <c r="D20">
        <v>49</v>
      </c>
      <c r="E20">
        <v>30</v>
      </c>
      <c r="F20">
        <v>-32</v>
      </c>
      <c r="G20">
        <v>84</v>
      </c>
      <c r="H20">
        <v>103</v>
      </c>
      <c r="I20">
        <v>-204</v>
      </c>
      <c r="J20">
        <v>-55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AA1A1-913D-44B2-A82F-243750A77DFF}">
  <sheetPr codeName="Arkusz4"/>
  <dimension ref="A1:B11"/>
  <sheetViews>
    <sheetView workbookViewId="0">
      <selection activeCell="F35" sqref="F35"/>
    </sheetView>
  </sheetViews>
  <sheetFormatPr defaultRowHeight="15" x14ac:dyDescent="0.25"/>
  <cols>
    <col min="1" max="1" width="10.28515625" bestFit="1" customWidth="1"/>
    <col min="2" max="2" width="10.42578125" bestFit="1" customWidth="1"/>
  </cols>
  <sheetData>
    <row r="1" spans="1:2" x14ac:dyDescent="0.25">
      <c r="A1" t="s">
        <v>1</v>
      </c>
      <c r="B1" t="s">
        <v>2</v>
      </c>
    </row>
    <row r="2" spans="1:2" x14ac:dyDescent="0.25">
      <c r="A2" s="1">
        <v>4779</v>
      </c>
      <c r="B2" s="1">
        <v>1194.75</v>
      </c>
    </row>
    <row r="3" spans="1:2" x14ac:dyDescent="0.25">
      <c r="A3" s="1">
        <v>4312.2</v>
      </c>
      <c r="B3" s="1">
        <v>1078.05</v>
      </c>
    </row>
    <row r="4" spans="1:2" x14ac:dyDescent="0.25">
      <c r="A4" s="1">
        <v>3213.31</v>
      </c>
      <c r="B4" s="1">
        <v>803.32749999999999</v>
      </c>
    </row>
    <row r="5" spans="1:2" x14ac:dyDescent="0.25">
      <c r="A5" s="1">
        <v>123</v>
      </c>
      <c r="B5" s="1">
        <v>30.75</v>
      </c>
    </row>
    <row r="6" spans="1:2" x14ac:dyDescent="0.25">
      <c r="A6" s="1">
        <v>432</v>
      </c>
      <c r="B6" s="1">
        <v>108</v>
      </c>
    </row>
    <row r="7" spans="1:2" x14ac:dyDescent="0.25">
      <c r="A7" s="1">
        <v>12</v>
      </c>
      <c r="B7" s="1">
        <v>3</v>
      </c>
    </row>
    <row r="8" spans="1:2" x14ac:dyDescent="0.25">
      <c r="A8" s="1">
        <v>652</v>
      </c>
      <c r="B8" s="1">
        <v>163</v>
      </c>
    </row>
    <row r="9" spans="1:2" x14ac:dyDescent="0.25">
      <c r="A9" s="1">
        <v>100</v>
      </c>
      <c r="B9" s="1">
        <v>25</v>
      </c>
    </row>
    <row r="10" spans="1:2" x14ac:dyDescent="0.25">
      <c r="A10" s="1">
        <v>65454</v>
      </c>
      <c r="B10" s="1">
        <v>16363.5</v>
      </c>
    </row>
    <row r="11" spans="1:2" x14ac:dyDescent="0.25">
      <c r="A11" s="1">
        <v>2133</v>
      </c>
      <c r="B11" s="1">
        <v>533.25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uruchomFormularz">
                <anchor moveWithCells="1" sizeWithCells="1">
                  <from>
                    <xdr:col>4</xdr:col>
                    <xdr:colOff>219075</xdr:colOff>
                    <xdr:row>4</xdr:row>
                    <xdr:rowOff>19050</xdr:rowOff>
                  </from>
                  <to>
                    <xdr:col>7</xdr:col>
                    <xdr:colOff>323850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DFBD7-34A5-4DB8-8DE2-76DE101604B5}">
  <sheetPr codeName="Arkusz5"/>
  <dimension ref="C5:J9"/>
  <sheetViews>
    <sheetView workbookViewId="0">
      <selection activeCell="G35" sqref="G35"/>
    </sheetView>
  </sheetViews>
  <sheetFormatPr defaultRowHeight="15" x14ac:dyDescent="0.25"/>
  <cols>
    <col min="3" max="3" width="5" bestFit="1" customWidth="1"/>
    <col min="4" max="4" width="11.7109375" bestFit="1" customWidth="1"/>
    <col min="5" max="5" width="7.28515625" bestFit="1" customWidth="1"/>
    <col min="6" max="6" width="13" bestFit="1" customWidth="1"/>
    <col min="7" max="7" width="27.42578125" bestFit="1" customWidth="1"/>
    <col min="8" max="8" width="22.85546875" bestFit="1" customWidth="1"/>
    <col min="9" max="9" width="15" bestFit="1" customWidth="1"/>
    <col min="10" max="10" width="20.140625" bestFit="1" customWidth="1"/>
  </cols>
  <sheetData>
    <row r="5" spans="3:10" x14ac:dyDescent="0.25"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</row>
    <row r="6" spans="3:10" x14ac:dyDescent="0.25">
      <c r="C6">
        <v>1</v>
      </c>
      <c r="D6" t="s">
        <v>11</v>
      </c>
      <c r="E6" t="s">
        <v>12</v>
      </c>
      <c r="F6">
        <v>1012</v>
      </c>
      <c r="G6">
        <v>1350</v>
      </c>
      <c r="H6" t="s">
        <v>13</v>
      </c>
      <c r="I6">
        <v>4.3499999999999996</v>
      </c>
      <c r="J6" cm="1">
        <f t="array" ref="J6">Stypendium(G6,H6,I6)</f>
        <v>925</v>
      </c>
    </row>
    <row r="7" spans="3:10" x14ac:dyDescent="0.25">
      <c r="C7">
        <v>2</v>
      </c>
      <c r="D7" t="s">
        <v>14</v>
      </c>
      <c r="E7" t="s">
        <v>15</v>
      </c>
      <c r="F7">
        <v>1002</v>
      </c>
      <c r="G7">
        <v>932</v>
      </c>
      <c r="H7" t="s">
        <v>16</v>
      </c>
      <c r="I7">
        <v>4.96</v>
      </c>
      <c r="J7" cm="1">
        <f t="array" ref="J7">Stypendium(G7,H7,I7)</f>
        <v>2450</v>
      </c>
    </row>
    <row r="8" spans="3:10" x14ac:dyDescent="0.25">
      <c r="C8">
        <v>3</v>
      </c>
      <c r="D8" t="s">
        <v>17</v>
      </c>
      <c r="E8" t="s">
        <v>18</v>
      </c>
      <c r="F8">
        <v>1031</v>
      </c>
      <c r="G8">
        <v>2830</v>
      </c>
      <c r="H8" t="s">
        <v>19</v>
      </c>
      <c r="I8">
        <v>3.87</v>
      </c>
      <c r="J8" cm="1">
        <f t="array" ref="J8">Stypendium(G8,H8,I8)</f>
        <v>0</v>
      </c>
    </row>
    <row r="9" spans="3:10" x14ac:dyDescent="0.25">
      <c r="C9">
        <v>4</v>
      </c>
      <c r="D9" t="s">
        <v>20</v>
      </c>
      <c r="E9" t="s">
        <v>20</v>
      </c>
      <c r="F9">
        <v>1024</v>
      </c>
      <c r="G9">
        <v>430</v>
      </c>
      <c r="H9" t="s">
        <v>21</v>
      </c>
      <c r="I9">
        <v>4.6500000000000004</v>
      </c>
      <c r="J9" cm="1">
        <f t="array" ref="J9">Stypendium(G9,H9,I9)</f>
        <v>2400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1DEB0-385C-4FE5-83DE-10C603CCF409}">
  <sheetPr codeName="Arkusz6"/>
  <dimension ref="A1:Q4"/>
  <sheetViews>
    <sheetView workbookViewId="0">
      <selection activeCell="U24" sqref="U24"/>
    </sheetView>
  </sheetViews>
  <sheetFormatPr defaultRowHeight="15" x14ac:dyDescent="0.25"/>
  <cols>
    <col min="12" max="12" width="12" customWidth="1"/>
  </cols>
  <sheetData>
    <row r="1" spans="1:17" x14ac:dyDescent="0.25">
      <c r="A1">
        <v>1</v>
      </c>
      <c r="B1">
        <v>-1</v>
      </c>
      <c r="C1">
        <v>5</v>
      </c>
      <c r="D1">
        <v>-2</v>
      </c>
      <c r="L1" t="s">
        <v>29</v>
      </c>
      <c r="M1" t="s">
        <v>22</v>
      </c>
      <c r="N1" t="s">
        <v>23</v>
      </c>
      <c r="O1" t="s">
        <v>24</v>
      </c>
      <c r="P1" t="s">
        <v>25</v>
      </c>
      <c r="Q1" t="s">
        <v>28</v>
      </c>
    </row>
    <row r="2" spans="1:17" x14ac:dyDescent="0.25">
      <c r="A2">
        <v>2</v>
      </c>
      <c r="B2">
        <v>0</v>
      </c>
      <c r="C2">
        <v>-2</v>
      </c>
      <c r="D2">
        <v>-1</v>
      </c>
      <c r="L2" t="s">
        <v>26</v>
      </c>
      <c r="M2">
        <v>1</v>
      </c>
      <c r="N2">
        <v>3</v>
      </c>
      <c r="O2">
        <v>1</v>
      </c>
      <c r="P2">
        <v>3</v>
      </c>
      <c r="Q2" cm="1">
        <f t="array" ref="Q2">Ile_Dodatnich_WK(M2,N2,O2,P2)</f>
        <v>5</v>
      </c>
    </row>
    <row r="3" spans="1:17" x14ac:dyDescent="0.25">
      <c r="A3">
        <v>-1</v>
      </c>
      <c r="B3">
        <v>3</v>
      </c>
      <c r="C3">
        <v>3</v>
      </c>
      <c r="D3">
        <v>-4</v>
      </c>
      <c r="L3" t="s">
        <v>27</v>
      </c>
      <c r="M3">
        <v>2</v>
      </c>
      <c r="N3">
        <v>4</v>
      </c>
      <c r="O3">
        <v>1</v>
      </c>
      <c r="P3">
        <v>4</v>
      </c>
      <c r="Q3" cm="1">
        <f t="array" ref="Q3">Ile_Ujemnych_WK(M3,N3,O3,P3)</f>
        <v>5</v>
      </c>
    </row>
    <row r="4" spans="1:17" x14ac:dyDescent="0.25">
      <c r="A4">
        <v>4</v>
      </c>
      <c r="B4">
        <v>1</v>
      </c>
      <c r="C4">
        <v>-33</v>
      </c>
      <c r="D4">
        <v>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F656-A1B4-4F9A-80CD-E4EC455E7F08}">
  <sheetPr codeName="Arkusz7"/>
  <dimension ref="A1:C16"/>
  <sheetViews>
    <sheetView workbookViewId="0">
      <selection sqref="A1:C3"/>
    </sheetView>
  </sheetViews>
  <sheetFormatPr defaultRowHeight="15" x14ac:dyDescent="0.25"/>
  <sheetData>
    <row r="1" spans="1:3" x14ac:dyDescent="0.25">
      <c r="A1">
        <v>-2</v>
      </c>
      <c r="B1">
        <v>1</v>
      </c>
      <c r="C1">
        <v>5</v>
      </c>
    </row>
    <row r="2" spans="1:3" x14ac:dyDescent="0.25">
      <c r="A2">
        <v>-2</v>
      </c>
      <c r="B2">
        <v>4</v>
      </c>
      <c r="C2">
        <v>-2</v>
      </c>
    </row>
    <row r="3" spans="1:3" x14ac:dyDescent="0.25">
      <c r="A3">
        <v>0</v>
      </c>
      <c r="B3">
        <v>-2</v>
      </c>
      <c r="C3">
        <v>4</v>
      </c>
    </row>
    <row r="4" spans="1:3" x14ac:dyDescent="0.25">
      <c r="A4">
        <v>3</v>
      </c>
      <c r="B4">
        <v>-2</v>
      </c>
      <c r="C4">
        <v>-5</v>
      </c>
    </row>
    <row r="5" spans="1:3" x14ac:dyDescent="0.25">
      <c r="A5">
        <v>2</v>
      </c>
      <c r="B5">
        <v>5</v>
      </c>
      <c r="C5">
        <v>1</v>
      </c>
    </row>
    <row r="6" spans="1:3" x14ac:dyDescent="0.25">
      <c r="A6">
        <v>-1</v>
      </c>
      <c r="B6">
        <v>5</v>
      </c>
      <c r="C6">
        <v>5</v>
      </c>
    </row>
    <row r="7" spans="1:3" x14ac:dyDescent="0.25">
      <c r="A7">
        <v>2</v>
      </c>
      <c r="B7">
        <v>-3</v>
      </c>
      <c r="C7">
        <v>2</v>
      </c>
    </row>
    <row r="8" spans="1:3" x14ac:dyDescent="0.25">
      <c r="A8">
        <v>5</v>
      </c>
      <c r="B8">
        <v>-3</v>
      </c>
      <c r="C8">
        <v>2</v>
      </c>
    </row>
    <row r="9" spans="1:3" x14ac:dyDescent="0.25">
      <c r="A9">
        <v>0</v>
      </c>
      <c r="B9">
        <v>-3</v>
      </c>
      <c r="C9">
        <v>0</v>
      </c>
    </row>
    <row r="10" spans="1:3" x14ac:dyDescent="0.25">
      <c r="A10">
        <v>-5</v>
      </c>
      <c r="B10">
        <v>5</v>
      </c>
      <c r="C10">
        <v>3</v>
      </c>
    </row>
    <row r="11" spans="1:3" x14ac:dyDescent="0.25">
      <c r="A11">
        <v>-3</v>
      </c>
      <c r="B11">
        <v>2</v>
      </c>
      <c r="C11">
        <v>-3</v>
      </c>
    </row>
    <row r="12" spans="1:3" x14ac:dyDescent="0.25">
      <c r="A12">
        <v>-1</v>
      </c>
      <c r="B12">
        <v>-5</v>
      </c>
      <c r="C12">
        <v>-1</v>
      </c>
    </row>
    <row r="13" spans="1:3" x14ac:dyDescent="0.25">
      <c r="A13">
        <v>4</v>
      </c>
      <c r="B13">
        <v>5</v>
      </c>
      <c r="C13">
        <v>-2</v>
      </c>
    </row>
    <row r="14" spans="1:3" x14ac:dyDescent="0.25">
      <c r="A14">
        <v>3</v>
      </c>
      <c r="B14">
        <v>0</v>
      </c>
      <c r="C14">
        <v>-4</v>
      </c>
    </row>
    <row r="15" spans="1:3" x14ac:dyDescent="0.25">
      <c r="A15">
        <v>2</v>
      </c>
      <c r="B15">
        <v>0</v>
      </c>
      <c r="C15">
        <v>1</v>
      </c>
    </row>
    <row r="16" spans="1:3" x14ac:dyDescent="0.25">
      <c r="A16">
        <v>0</v>
      </c>
      <c r="B16">
        <v>-1</v>
      </c>
      <c r="C16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uruchomIleLiczb">
                <anchor moveWithCells="1" sizeWithCells="1">
                  <from>
                    <xdr:col>5</xdr:col>
                    <xdr:colOff>238125</xdr:colOff>
                    <xdr:row>7</xdr:row>
                    <xdr:rowOff>0</xdr:rowOff>
                  </from>
                  <to>
                    <xdr:col>8</xdr:col>
                    <xdr:colOff>295275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21478-F6BE-4B9C-8778-642603D566E0}">
  <sheetPr codeName="Arkusz8"/>
  <dimension ref="A1:E3"/>
  <sheetViews>
    <sheetView workbookViewId="0">
      <selection activeCell="M8" sqref="M8"/>
    </sheetView>
  </sheetViews>
  <sheetFormatPr defaultRowHeight="15" x14ac:dyDescent="0.25"/>
  <sheetData>
    <row r="1" spans="1:5" x14ac:dyDescent="0.25">
      <c r="A1">
        <v>-2</v>
      </c>
      <c r="B1">
        <v>1</v>
      </c>
      <c r="C1">
        <v>4</v>
      </c>
      <c r="D1">
        <v>1</v>
      </c>
      <c r="E1">
        <v>5</v>
      </c>
    </row>
    <row r="2" spans="1:5" x14ac:dyDescent="0.25">
      <c r="A2">
        <v>-2</v>
      </c>
      <c r="B2">
        <v>4</v>
      </c>
      <c r="C2">
        <v>-2</v>
      </c>
      <c r="D2">
        <v>4</v>
      </c>
      <c r="E2">
        <v>-2</v>
      </c>
    </row>
    <row r="3" spans="1:5" x14ac:dyDescent="0.25">
      <c r="A3">
        <v>0</v>
      </c>
      <c r="B3">
        <v>-2</v>
      </c>
      <c r="C3">
        <v>0</v>
      </c>
      <c r="D3">
        <v>-2</v>
      </c>
      <c r="E3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F045A5EAFDB4459854BB6EF9C493B7" ma:contentTypeVersion="11" ma:contentTypeDescription="Create a new document." ma:contentTypeScope="" ma:versionID="7c102ca9f9232ff6ad4b86268e5df40b">
  <xsd:schema xmlns:xsd="http://www.w3.org/2001/XMLSchema" xmlns:xs="http://www.w3.org/2001/XMLSchema" xmlns:p="http://schemas.microsoft.com/office/2006/metadata/properties" xmlns:ns3="90d2300d-56d2-4036-b8c1-adbd1c63bd83" xmlns:ns4="56b8b8b2-6375-4c75-aa8a-4a145dd76c3f" targetNamespace="http://schemas.microsoft.com/office/2006/metadata/properties" ma:root="true" ma:fieldsID="d84d1bc85337a35c57731cb01f06fcf5" ns3:_="" ns4:_="">
    <xsd:import namespace="90d2300d-56d2-4036-b8c1-adbd1c63bd83"/>
    <xsd:import namespace="56b8b8b2-6375-4c75-aa8a-4a145dd76c3f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ObjectDetectorVersions" minOccurs="0"/>
                <xsd:element ref="ns4:_activity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d2300d-56d2-4036-b8c1-adbd1c63bd8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b8b8b2-6375-4c75-aa8a-4a145dd76c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6b8b8b2-6375-4c75-aa8a-4a145dd76c3f" xsi:nil="true"/>
  </documentManagement>
</p:properties>
</file>

<file path=customXml/itemProps1.xml><?xml version="1.0" encoding="utf-8"?>
<ds:datastoreItem xmlns:ds="http://schemas.openxmlformats.org/officeDocument/2006/customXml" ds:itemID="{FDEECB57-7534-4BA8-9263-2CD2B576B9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d2300d-56d2-4036-b8c1-adbd1c63bd83"/>
    <ds:schemaRef ds:uri="56b8b8b2-6375-4c75-aa8a-4a145dd76c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C503AD-B8DA-4507-9C36-892BD79C3B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87E0046-E2EE-4CF8-BD6E-8870BC1EA5A9}">
  <ds:schemaRefs>
    <ds:schemaRef ds:uri="http://purl.org/dc/dcmitype/"/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0d2300d-56d2-4036-b8c1-adbd1c63bd83"/>
    <ds:schemaRef ds:uri="56b8b8b2-6375-4c75-aa8a-4a145dd76c3f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Zad8_1</vt:lpstr>
      <vt:lpstr>Zad8_2</vt:lpstr>
      <vt:lpstr>Zad8_3</vt:lpstr>
      <vt:lpstr>zad3</vt:lpstr>
      <vt:lpstr>zad4</vt:lpstr>
      <vt:lpstr>zad5</vt:lpstr>
      <vt:lpstr>Zad7</vt:lpstr>
      <vt:lpstr>Zad6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Lewek (272209)</dc:creator>
  <cp:lastModifiedBy>Adrian Lewek (272209)</cp:lastModifiedBy>
  <dcterms:created xsi:type="dcterms:W3CDTF">2024-11-23T21:34:46Z</dcterms:created>
  <dcterms:modified xsi:type="dcterms:W3CDTF">2024-11-27T20:36:56Z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0x010100CBF045A5EAFDB4459854BB6EF9C493B7</vt:lpwstr>
  </property>
</Properties>
</file>